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儀表板 (Dashboard)" state="visible" r:id="rId4"/>
    <sheet sheetId="2" name="Inventory (庫存總表)" state="visible" r:id="rId5"/>
    <sheet sheetId="3" name="Inbound (入庫單)" state="visible" r:id="rId6"/>
    <sheet sheetId="4" name="Outbound (出庫單)" state="visible" r:id="rId7"/>
  </sheets>
  <calcPr calcId="171027"/>
</workbook>
</file>

<file path=xl/sharedStrings.xml><?xml version="1.0" encoding="utf-8"?>
<sst xmlns="http://schemas.openxmlformats.org/spreadsheetml/2006/main" count="43" uniqueCount="30">
  <si>
    <t>🏭 工廠智慧進銷存看板</t>
  </si>
  <si>
    <t>▼ 請切換下方工作表進行操作 (Inventory: 庫存表 / Inbound: 入庫 / Outbound: 出庫)</t>
  </si>
  <si>
    <t>料號 (SKU)</t>
  </si>
  <si>
    <t>品名</t>
  </si>
  <si>
    <t>規格</t>
  </si>
  <si>
    <t>安全庫存</t>
  </si>
  <si>
    <t>目前庫存</t>
  </si>
  <si>
    <t>狀態</t>
  </si>
  <si>
    <t>A-001</t>
  </si>
  <si>
    <t>鍍鋅鋼板</t>
  </si>
  <si>
    <t>2mm x 100cm</t>
  </si>
  <si>
    <t>B-105</t>
  </si>
  <si>
    <t>工業用螺絲</t>
  </si>
  <si>
    <t>M5 x 20mm</t>
  </si>
  <si>
    <t>C-099</t>
  </si>
  <si>
    <t>防護手套</t>
  </si>
  <si>
    <t>L Size</t>
  </si>
  <si>
    <t>D-302</t>
  </si>
  <si>
    <t>切削油</t>
  </si>
  <si>
    <t>50L 桶裝</t>
  </si>
  <si>
    <t>E-001</t>
  </si>
  <si>
    <t>包裝紙箱</t>
  </si>
  <si>
    <t>50x50x50</t>
  </si>
  <si>
    <t>日期</t>
  </si>
  <si>
    <t>料號</t>
  </si>
  <si>
    <t>數量</t>
  </si>
  <si>
    <t>備註</t>
  </si>
  <si>
    <t>初始庫存</t>
  </si>
  <si>
    <t>領用人</t>
  </si>
  <si>
    <t>張三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</si>
</sst>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217346"/>
      <sz val="20"/>
      <name val="微軟正黑體"/>
    </font>
    <font>
      <b/>
      <color rgb="FFFFFFFF"/>
      <sz val="24"/>
    </font>
    <font>
      <i/>
      <color rgb="FF666666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10b981"/>
      </patternFill>
    </fill>
    <fill>
      <patternFill patternType="solid">
        <fgColor rgb="FFf59e0b"/>
      </patternFill>
    </fill>
    <fill>
      <patternFill patternType="solid">
        <fgColor rgb="FFef4444"/>
      </patternFill>
    </fill>
    <fill>
      <patternFill patternType="solid">
        <fgColor rgb="FF2173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0" xfId="0" applyFont="1"/>
    <xf numFmtId="0" fontId="4" fillId="6" borderId="0" xfId="0" applyFont="1" applyFill="1"/>
    <xf numFmtId="0" fontId="5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8"/>
  <sheetViews>
    <sheetView workbookViewId="0" showGridLines="0"/>
  </sheetViews>
  <sheetFormatPr defaultRowHeight="15" outlineLevelRow="0" outlineLevelCol="0" x14ac:dyDescent="55"/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4" spans="2:9" x14ac:dyDescent="0.25">
      <c r="B4" s="2">
        <f>COUNTA(Inventory!A2:A100)</f>
        <v>0</v>
      </c>
      <c r="C4" s="2"/>
      <c r="D4" s="3">
        <f>SUM(Inbound!C:C)</f>
        <v>0</v>
      </c>
      <c r="E4" s="3"/>
      <c r="F4" s="4">
        <f>SUM(Outbound!C:C)</f>
        <v>0</v>
      </c>
      <c r="G4" s="4"/>
      <c r="H4" s="5">
        <f>COUNTIF(Inventory!F:F, "補貨中")</f>
        <v>0</v>
      </c>
      <c r="I4" s="5"/>
    </row>
    <row r="5" spans="2:9" x14ac:dyDescent="0.25">
      <c r="B5" s="2"/>
      <c r="C5" s="2"/>
      <c r="D5" s="3"/>
      <c r="E5" s="3"/>
      <c r="F5" s="4"/>
      <c r="G5" s="4"/>
      <c r="H5" s="5"/>
      <c r="I5" s="5"/>
    </row>
    <row r="6" spans="2:9" x14ac:dyDescent="0.25">
      <c r="B6" s="2"/>
      <c r="C6" s="2"/>
      <c r="D6" s="3"/>
      <c r="E6" s="3"/>
      <c r="F6" s="4"/>
      <c r="G6" s="4"/>
      <c r="H6" s="5"/>
      <c r="I6" s="5"/>
    </row>
    <row r="8" spans="2:9" x14ac:dyDescent="0.25">
      <c r="B8" s="6" t="s">
        <v>1</v>
      </c>
      <c r="C8" s="6"/>
      <c r="D8" s="6"/>
      <c r="E8" s="6"/>
      <c r="F8" s="6"/>
      <c r="G8" s="6"/>
      <c r="H8" s="6"/>
      <c r="I8" s="6"/>
    </row>
  </sheetData>
  <mergeCells count="6">
    <mergeCell ref="B2:H2"/>
    <mergeCell ref="B4:C6"/>
    <mergeCell ref="D4:E6"/>
    <mergeCell ref="F4:G6"/>
    <mergeCell ref="H4:I6"/>
    <mergeCell ref="B8:I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6" width="12" customWidth="1"/>
  </cols>
  <sheetData>
    <row r="1" spans="1:6" s="7" customFormat="1" x14ac:dyDescent="0.25">
      <c r="A1" s="7" t="s">
        <v>2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</row>
    <row r="2" spans="1:6" x14ac:dyDescent="0.25">
      <c r="A2" t="s">
        <v>8</v>
      </c>
      <c r="B2" t="s">
        <v>9</v>
      </c>
      <c r="C2" t="s">
        <v>10</v>
      </c>
      <c r="D2">
        <v>500</v>
      </c>
      <c r="E2">
        <f>SUMIF(Inbound!B:B, A2, Inbound!C:C) - SUMIF(Outbound!B:B, A2, Outbound!C:C)</f>
      </c>
      <c r="F2">
        <f>IF(E2&lt;D2, "補貨中", "正常")</f>
      </c>
    </row>
    <row r="3" spans="1:6" x14ac:dyDescent="0.25">
      <c r="A3" t="s">
        <v>11</v>
      </c>
      <c r="B3" t="s">
        <v>12</v>
      </c>
      <c r="C3" t="s">
        <v>13</v>
      </c>
      <c r="D3">
        <v>10000</v>
      </c>
      <c r="E3">
        <f>SUMIF(Inbound!B:B, A3, Inbound!C:C) - SUMIF(Outbound!B:B, A3, Outbound!C:C)</f>
      </c>
      <c r="F3">
        <f>IF(E3&lt;D3, "補貨中", "正常")</f>
      </c>
    </row>
    <row r="4" spans="1:6" x14ac:dyDescent="0.25">
      <c r="A4" t="s">
        <v>14</v>
      </c>
      <c r="B4" t="s">
        <v>15</v>
      </c>
      <c r="C4" t="s">
        <v>16</v>
      </c>
      <c r="D4">
        <v>200</v>
      </c>
      <c r="E4">
        <f>SUMIF(Inbound!B:B, A4, Inbound!C:C) - SUMIF(Outbound!B:B, A4, Outbound!C:C)</f>
      </c>
      <c r="F4">
        <f>IF(E4&lt;D4, "補貨中", "正常")</f>
      </c>
    </row>
    <row r="5" spans="1:6" x14ac:dyDescent="0.25">
      <c r="A5" t="s">
        <v>17</v>
      </c>
      <c r="B5" t="s">
        <v>18</v>
      </c>
      <c r="C5" t="s">
        <v>19</v>
      </c>
      <c r="D5">
        <v>10</v>
      </c>
      <c r="E5">
        <f>SUMIF(Inbound!B:B, A5, Inbound!C:C) - SUMIF(Outbound!B:B, A5, Outbound!C:C)</f>
      </c>
      <c r="F5">
        <f>IF(E5&lt;D5, "補貨中", "正常")</f>
      </c>
    </row>
    <row r="6" spans="1:6" x14ac:dyDescent="0.25">
      <c r="A6" t="s">
        <v>20</v>
      </c>
      <c r="B6" t="s">
        <v>21</v>
      </c>
      <c r="C6" t="s">
        <v>22</v>
      </c>
      <c r="D6">
        <v>100</v>
      </c>
      <c r="E6">
        <f>SUMIF(Inbound!B:B, A6, Inbound!C:C) - SUMIF(Outbound!B:B, A6, Outbound!C:C)</f>
      </c>
      <c r="F6">
        <f>IF(E6&lt;D6, "補貨中", "正常")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2" width="15" customWidth="1"/>
    <col min="3" max="3" width="12" customWidth="1"/>
    <col min="4" max="4" width="20" customWidth="1"/>
  </cols>
  <sheetData>
    <row r="1" spans="1:4" s="8" customFormat="1" x14ac:dyDescent="0.25">
      <c r="A1" s="8" t="s">
        <v>23</v>
      </c>
      <c r="B1" s="8" t="s">
        <v>24</v>
      </c>
      <c r="C1" s="8" t="s">
        <v>25</v>
      </c>
      <c r="D1" s="8" t="s">
        <v>26</v>
      </c>
    </row>
    <row r="2" spans="1:4" x14ac:dyDescent="0.25">
      <c r="A2" s="9">
        <v>46054.57757378472</v>
      </c>
      <c r="B2" t="s">
        <v>8</v>
      </c>
      <c r="C2">
        <v>1200</v>
      </c>
      <c r="D2" t="s">
        <v>27</v>
      </c>
    </row>
    <row r="3" spans="1:4" x14ac:dyDescent="0.25">
      <c r="A3" s="9">
        <v>46054.57757378472</v>
      </c>
      <c r="B3" t="s">
        <v>11</v>
      </c>
      <c r="C3">
        <v>25000</v>
      </c>
      <c r="D3" t="s">
        <v>27</v>
      </c>
    </row>
    <row r="4" spans="1:4" x14ac:dyDescent="0.25">
      <c r="A4" s="9">
        <v>46054.57757378472</v>
      </c>
      <c r="B4" t="s">
        <v>14</v>
      </c>
      <c r="C4">
        <v>50</v>
      </c>
      <c r="D4" t="s">
        <v>27</v>
      </c>
    </row>
    <row r="5" spans="1:4" x14ac:dyDescent="0.25">
      <c r="A5" s="9">
        <v>46054.57757378472</v>
      </c>
      <c r="B5" t="s">
        <v>17</v>
      </c>
      <c r="C5">
        <v>15</v>
      </c>
      <c r="D5" t="s">
        <v>27</v>
      </c>
    </row>
    <row r="6" spans="1:4" x14ac:dyDescent="0.25">
      <c r="A6" s="9">
        <v>46054.57757378472</v>
      </c>
      <c r="B6" t="s">
        <v>20</v>
      </c>
      <c r="C6">
        <v>98</v>
      </c>
      <c r="D6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15" customWidth="1"/>
    <col min="3" max="3" width="12" customWidth="1"/>
    <col min="4" max="4" width="15" customWidth="1"/>
  </cols>
  <sheetData>
    <row r="1" spans="1:4" s="8" customFormat="1" x14ac:dyDescent="0.25">
      <c r="A1" s="8" t="s">
        <v>23</v>
      </c>
      <c r="B1" s="8" t="s">
        <v>24</v>
      </c>
      <c r="C1" s="8" t="s">
        <v>25</v>
      </c>
      <c r="D1" s="8" t="s">
        <v>28</v>
      </c>
    </row>
    <row r="2" spans="1:4" x14ac:dyDescent="0.25">
      <c r="A2" s="9">
        <v>46054.57757378472</v>
      </c>
      <c r="B2" t="s">
        <v>8</v>
      </c>
      <c r="C2">
        <v>50</v>
      </c>
      <c r="D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儀表板 (Dashboard)</vt:lpstr>
      <vt:lpstr>Inventory (庫存總表)</vt:lpstr>
      <vt:lpstr>Inbound (入庫單)</vt:lpstr>
      <vt:lpstr>Outbound (出庫單)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Jenson AI</dc:creator>
  <dc:title/>
  <dc:subject/>
  <dc:description/>
  <cp:keywords/>
  <cp:category/>
  <cp:lastModifiedBy>Unknown</cp:lastModifiedBy>
  <dcterms:created xsi:type="dcterms:W3CDTF">2026-02-01T13:51:42Z</dcterms:created>
  <dcterms:modified xsi:type="dcterms:W3CDTF">2026-02-01T13:51:42Z</dcterms:modified>
</cp:coreProperties>
</file>